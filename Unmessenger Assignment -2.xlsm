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B8836DAD-5710-4A33-88E4-B72403A80209}" xr6:coauthVersionLast="47" xr6:coauthVersionMax="47" xr10:uidLastSave="{00000000-0000-0000-0000-000000000000}"/>
  <bookViews>
    <workbookView xWindow="-108" yWindow="-108" windowWidth="23256" windowHeight="1257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8" i="1" l="1"/>
  <c r="F33" i="1"/>
  <c r="F40" i="1"/>
  <c r="F47" i="1"/>
  <c r="F37" i="1"/>
  <c r="F53" i="1"/>
  <c r="F28" i="1"/>
  <c r="F29" i="1"/>
  <c r="F26" i="1"/>
  <c r="F23" i="1"/>
  <c r="F34" i="1"/>
  <c r="F30" i="1"/>
  <c r="F20" i="1"/>
  <c r="F11" i="1"/>
  <c r="F21" i="1"/>
  <c r="F41" i="1"/>
  <c r="F31" i="1"/>
  <c r="F46" i="1"/>
  <c r="F19" i="1"/>
  <c r="F15" i="1"/>
  <c r="F17" i="1"/>
  <c r="F43" i="1"/>
  <c r="F51" i="1"/>
  <c r="F48" i="1"/>
  <c r="F13" i="1"/>
  <c r="F49" i="1"/>
  <c r="F39" i="1"/>
  <c r="F9" i="1"/>
  <c r="F22" i="1"/>
  <c r="F55" i="1"/>
  <c r="F52" i="1"/>
  <c r="F54" i="1"/>
  <c r="F18" i="1"/>
  <c r="F32" i="1"/>
  <c r="F10" i="1"/>
  <c r="F35" i="1"/>
  <c r="F42" i="1"/>
  <c r="F16" i="1"/>
  <c r="F45" i="1"/>
  <c r="F8" i="1"/>
  <c r="F14" i="1"/>
  <c r="F25" i="1"/>
  <c r="F36" i="1"/>
  <c r="F24" i="1"/>
  <c r="F44" i="1"/>
  <c r="F27" i="1"/>
  <c r="F50" i="1"/>
  <c r="H49" i="1"/>
  <c r="H41" i="1"/>
  <c r="H33" i="1"/>
  <c r="H16" i="1"/>
</calcChain>
</file>

<file path=xl/sharedStrings.xml><?xml version="1.0" encoding="utf-8"?>
<sst xmlns="http://schemas.openxmlformats.org/spreadsheetml/2006/main" count="228" uniqueCount="118">
  <si>
    <t>Name</t>
  </si>
  <si>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</si>
  <si>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</si>
  <si>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</si>
  <si>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</si>
  <si>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</si>
  <si>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</si>
  <si>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</si>
  <si>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</si>
  <si>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</si>
  <si>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</si>
  <si>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</si>
  <si>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</si>
  <si>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</si>
  <si>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</si>
  <si>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</si>
  <si>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</si>
  <si>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</si>
  <si>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</si>
  <si>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</si>
  <si>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</si>
  <si>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</si>
  <si>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</si>
  <si>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</si>
  <si>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</si>
  <si>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</si>
  <si>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</si>
  <si>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</si>
  <si>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</si>
  <si>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</si>
  <si>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</si>
  <si>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</si>
  <si>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</si>
  <si>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</si>
  <si>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</si>
  <si>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</si>
  <si>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Divya Singh</t>
  </si>
  <si>
    <t>678 6th St, Chennai, Tamil Nadu,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</si>
  <si>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</si>
  <si>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</si>
  <si>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</si>
  <si>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</si>
  <si>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</si>
  <si>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</si>
  <si>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</si>
  <si>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</si>
  <si>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</si>
  <si>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</si>
  <si>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</si>
  <si>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</si>
  <si>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</si>
  <si>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</si>
  <si>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</si>
  <si>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</si>
  <si>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</si>
  <si>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</si>
  <si>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</si>
  <si>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</si>
  <si>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</si>
  <si>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</si>
  <si>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</si>
  <si>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</si>
  <si>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</si>
  <si>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</si>
  <si>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</si>
  <si>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</si>
  <si>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</si>
  <si>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</si>
  <si>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</si>
  <si>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</si>
  <si>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</si>
  <si>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</si>
  <si>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</si>
  <si>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</si>
  <si>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</si>
  <si>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</si>
  <si>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</si>
  <si>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</si>
  <si>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pooja.mishra@yahoo.com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</si>
  <si>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</si>
  <si>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</si>
  <si>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</si>
  <si>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</si>
  <si>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</si>
  <si>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</si>
  <si>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</si>
  <si>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</si>
  <si>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</si>
  <si>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</si>
  <si>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</si>
  <si>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</si>
  <si>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</si>
  <si>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</si>
  <si>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</si>
  <si>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</si>
  <si>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</si>
  <si>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</si>
  <si>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</si>
  <si>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</si>
  <si>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</si>
  <si>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</si>
  <si>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</si>
  <si>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</si>
  <si>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</si>
  <si>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Hr</t>
  </si>
  <si>
    <t>Operations</t>
  </si>
  <si>
    <t>Sales</t>
  </si>
  <si>
    <t>Finance/Accounts</t>
  </si>
  <si>
    <t>Mangement</t>
  </si>
  <si>
    <t>Data Science</t>
  </si>
  <si>
    <t>91-6666666666</t>
  </si>
  <si>
    <t>Column13</t>
  </si>
  <si>
    <t>support@dataisgood.com</t>
  </si>
  <si>
    <t>91-8888888888</t>
  </si>
  <si>
    <t>91-7777777777</t>
  </si>
  <si>
    <t>It Department</t>
  </si>
  <si>
    <t>It Devlopement</t>
  </si>
  <si>
    <t>Operaryion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</si>
</sst>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0" formatCode="_-[$INR]\ * #,##0.00_-;\-[$INR]\ * #,##0.00_-;_-[$INR]\ * &quot;-&quot;??_-;_-@_-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/>
    <xf numFmtId="2" fontId="0" fillId="0" borderId="0" xfId="0" applyNumberFormat="1"/>
    <xf numFmtId="0" fontId="0" fillId="0" borderId="0" xfId="0" applyFill="1"/>
    <xf numFmtId="1" fontId="0" fillId="0" borderId="0" xfId="0" applyNumberFormat="1"/>
    <xf numFmtId="170" fontId="1" fillId="2" borderId="0" xfId="0" applyNumberFormat="1" applyFont="1" applyFill="1"/>
    <xf numFmtId="170" fontId="0" fillId="0" borderId="0" xfId="0" applyNumberFormat="1"/>
  </cellXfs>
  <cellStyles count="1">
    <cellStyle name="Normal" xfId="0" builtinId="0"/>
  </cellStyles>
  <dxfs count="11">
    <dxf>
      <font>
        <strike val="0"/>
        <outline val="0"/>
        <shadow val="0"/>
        <u val="none"/>
        <vertAlign val="baseline"/>
        <sz val="11"/>
        <color theme="1"/>
      </font>
      <numFmt numFmtId="170" formatCode="_-[$INR]\ * #,##0.00_-;\-[$INR]\ * #,##0.00_-;_-[$INR]\ * &quot;-&quot;??_-;_-@_-"/>
    </dxf>
    <dxf>
      <font>
        <strike val="0"/>
        <outline val="0"/>
        <shadow val="0"/>
        <u val="none"/>
        <vertAlign val="baseline"/>
        <sz val="11"/>
        <color theme="1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480060</xdr:colOff>
      <xdr:row>0</xdr:row>
      <xdr:rowOff>114300</xdr:rowOff>
    </xdr:from>
    <xdr:to>
      <xdr:col>11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7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71E5664-3A18-422E-AB49-8BBF00D55019}" name="Table1" displayName="Table1" ref="E7:N55" totalsRowShown="0" headerRowDxfId="10" dataDxfId="9">
  <autoFilter ref="E7:N55" xr:uid="{571E5664-3A18-422E-AB49-8BBF00D55019}"/>
  <sortState xmlns:xlrd2="http://schemas.microsoft.com/office/spreadsheetml/2017/richdata2" ref="E8:N55">
    <sortCondition descending="1" ref="N7:N55"/>
  </sortState>
  <tableColumns count="10">
    <tableColumn id="1" xr3:uid="{0F186AC9-7116-4750-8350-32E39657BDEF}" name="Id" dataDxfId="8"/>
    <tableColumn id="13" xr3:uid="{36506CC5-3812-4718-B669-C25709BDAF70}" name="Name" dataDxfId="4">
      <calculatedColumnFormula>PROPER(LEFT(Table1[[#This Row],[Email]],FIND("@",Table1[[#This Row],[Email]])-1))</calculatedColumnFormula>
    </tableColumn>
    <tableColumn id="15" xr3:uid="{7936E7C3-F935-4230-9D9B-12120644DC12}" name="Column13"/>
    <tableColumn id="3" xr3:uid="{D20B21E4-141B-4F80-B509-FFFDBDDDD7F4}" name="Age" dataDxfId="1"/>
    <tableColumn id="4" xr3:uid="{988050FD-7A13-4567-B7F1-B83DFF6C50D6}" name="Gender" dataDxfId="7"/>
    <tableColumn id="5" xr3:uid="{71DD8E56-AB70-41BA-BE06-62EA46C80DEC}" name="Department" dataDxfId="2"/>
    <tableColumn id="6" xr3:uid="{C20650CA-3DDE-4C63-83CA-462380F46BB4}" name="Email" dataDxfId="6"/>
    <tableColumn id="7" xr3:uid="{9F3F4B7E-0B29-4F47-944B-C89BC5596DA2}" name="Phone" dataDxfId="3"/>
    <tableColumn id="8" xr3:uid="{9894F713-829B-4BE3-B5D2-22F23DA72823}" name="Address" dataDxfId="5"/>
    <tableColumn id="9" xr3:uid="{69CDA7D3-FED4-49AB-9173-918B9E817F84}" name="Salary" dataDxfId="0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dimension ref="E7:N55"/>
  <sheetViews>
    <sheetView tabSelected="1" topLeftCell="E1" workbookViewId="0">
      <selection activeCell="N7" sqref="N7"/>
    </sheetView>
  </sheetViews>
  <sheetFormatPr defaultRowHeight="14.4" x14ac:dyDescent="0.3"/>
  <cols>
    <col min="5" max="5" width="15.5546875" customWidth="1"/>
    <col min="6" max="6" width="25.44140625" customWidth="1"/>
    <col min="7" max="7" width="13.109375" customWidth="1"/>
    <col min="8" max="8" width="22.21875" customWidth="1"/>
    <col min="9" max="9" width="35.44140625" customWidth="1"/>
    <col min="10" max="10" width="15.5546875" bestFit="1" customWidth="1"/>
    <col min="11" max="11" width="25.109375" bestFit="1" customWidth="1"/>
    <col min="12" max="12" width="13.77734375" bestFit="1" customWidth="1"/>
    <col min="13" max="13" width="36.5546875" bestFit="1" customWidth="1"/>
    <col min="14" max="14" width="13.88671875" bestFit="1" customWidth="1"/>
  </cols>
  <sheetData>
    <row r="7" spans="5:14" x14ac:dyDescent="0.3">
      <c r="E7" s="1" t="s">
        <v>1</v>
      </c>
      <c r="F7" s="1" t="s">
        <v>0</v>
      </c>
      <c r="G7" s="1" t="s">
        <v>111</v>
      </c>
      <c r="H7" s="1" t="s">
        <v>2</v>
      </c>
      <c r="I7" s="1" t="s">
        <v>3</v>
      </c>
      <c r="J7" s="1" t="s">
        <v>103</v>
      </c>
      <c r="K7" s="1" t="s">
        <v>4</v>
      </c>
      <c r="L7" s="1" t="s">
        <v>5</v>
      </c>
      <c r="M7" s="1" t="s">
        <v>6</v>
      </c>
      <c r="N7" s="5" t="s">
        <v>97</v>
      </c>
    </row>
    <row r="8" spans="5:14" x14ac:dyDescent="0.3">
      <c r="E8">
        <v>9</v>
      </c>
      <c r="F8" t="str">
        <f>PROPER(LEFT(Table1[[#This Row],[Email]],FIND("@",Table1[[#This Row],[Email]])-1))</f>
        <v>Neha.Gupta</v>
      </c>
      <c r="H8" s="4">
        <v>27</v>
      </c>
      <c r="I8" t="s">
        <v>10</v>
      </c>
      <c r="J8" t="s">
        <v>106</v>
      </c>
      <c r="K8" t="s">
        <v>39</v>
      </c>
      <c r="L8" t="s">
        <v>114</v>
      </c>
      <c r="M8" t="s">
        <v>40</v>
      </c>
      <c r="N8" s="6">
        <v>49938</v>
      </c>
    </row>
    <row r="9" spans="5:14" x14ac:dyDescent="0.3">
      <c r="E9">
        <v>22</v>
      </c>
      <c r="F9" t="str">
        <f>PROPER(LEFT(Table1[[#This Row],[Email]],FIND("@",Table1[[#This Row],[Email]])-1))</f>
        <v>Manoj.Kumar</v>
      </c>
      <c r="H9" s="4">
        <v>33</v>
      </c>
      <c r="I9" t="s">
        <v>7</v>
      </c>
      <c r="J9" t="s">
        <v>109</v>
      </c>
      <c r="K9" t="s">
        <v>16</v>
      </c>
      <c r="L9" t="s">
        <v>113</v>
      </c>
      <c r="M9" t="s">
        <v>17</v>
      </c>
      <c r="N9" s="6">
        <v>49681</v>
      </c>
    </row>
    <row r="10" spans="5:14" x14ac:dyDescent="0.3">
      <c r="E10">
        <v>15</v>
      </c>
      <c r="F10" t="str">
        <f>PROPER(LEFT(Table1[[#This Row],[Email]],FIND("@",Table1[[#This Row],[Email]])-1))</f>
        <v>Kavita.Sharma</v>
      </c>
      <c r="H10" s="4">
        <v>30</v>
      </c>
      <c r="I10" t="s">
        <v>10</v>
      </c>
      <c r="J10" t="s">
        <v>107</v>
      </c>
      <c r="K10" t="s">
        <v>49</v>
      </c>
      <c r="L10" t="s">
        <v>113</v>
      </c>
      <c r="N10" s="6">
        <v>49400</v>
      </c>
    </row>
    <row r="11" spans="5:14" x14ac:dyDescent="0.3">
      <c r="E11">
        <v>37</v>
      </c>
      <c r="F11" t="str">
        <f>PROPER(LEFT(Table1[[#This Row],[Email]],FIND("@",Table1[[#This Row],[Email]])-1))</f>
        <v>Payal.Sharma</v>
      </c>
      <c r="H11" s="4">
        <v>31</v>
      </c>
      <c r="I11" t="s">
        <v>10</v>
      </c>
      <c r="J11" t="s">
        <v>106</v>
      </c>
      <c r="K11" t="s">
        <v>70</v>
      </c>
      <c r="M11" t="s">
        <v>71</v>
      </c>
      <c r="N11" s="6">
        <v>48367</v>
      </c>
    </row>
    <row r="12" spans="5:14" x14ac:dyDescent="0.3">
      <c r="E12">
        <v>7</v>
      </c>
      <c r="F12" t="s">
        <v>36</v>
      </c>
      <c r="H12" s="4">
        <v>25</v>
      </c>
      <c r="I12" t="s">
        <v>10</v>
      </c>
      <c r="J12" t="s">
        <v>116</v>
      </c>
      <c r="K12" s="3" t="s">
        <v>112</v>
      </c>
      <c r="L12" t="s">
        <v>102</v>
      </c>
      <c r="M12" t="s">
        <v>37</v>
      </c>
      <c r="N12" s="6">
        <v>45828</v>
      </c>
    </row>
    <row r="13" spans="5:14" x14ac:dyDescent="0.3">
      <c r="E13">
        <v>26</v>
      </c>
      <c r="F13" t="str">
        <f>PROPER(LEFT(Table1[[#This Row],[Email]],FIND("@",Table1[[#This Row],[Email]])-1))</f>
        <v>Akash.Patel</v>
      </c>
      <c r="H13" s="4">
        <v>31</v>
      </c>
      <c r="I13" t="s">
        <v>7</v>
      </c>
      <c r="J13" t="s">
        <v>107</v>
      </c>
      <c r="K13" t="s">
        <v>21</v>
      </c>
      <c r="M13" t="s">
        <v>22</v>
      </c>
      <c r="N13" s="6">
        <v>45678</v>
      </c>
    </row>
    <row r="14" spans="5:14" x14ac:dyDescent="0.3">
      <c r="E14">
        <v>8</v>
      </c>
      <c r="F14" t="str">
        <f>PROPER(LEFT(Table1[[#This Row],[Email]],FIND("@",Table1[[#This Row],[Email]])-1))</f>
        <v>Aman.Verma</v>
      </c>
      <c r="H14" s="4">
        <v>31</v>
      </c>
      <c r="I14" t="s">
        <v>7</v>
      </c>
      <c r="J14" t="s">
        <v>106</v>
      </c>
      <c r="K14" t="s">
        <v>38</v>
      </c>
      <c r="L14" t="s">
        <v>113</v>
      </c>
      <c r="N14" s="6">
        <v>45450</v>
      </c>
    </row>
    <row r="15" spans="5:14" x14ac:dyDescent="0.3">
      <c r="E15">
        <v>31</v>
      </c>
      <c r="F15" t="str">
        <f>PROPER(LEFT(Table1[[#This Row],[Email]],FIND("@",Table1[[#This Row],[Email]])-1))</f>
        <v>Neha.Gupta</v>
      </c>
      <c r="H15" s="4">
        <v>27</v>
      </c>
      <c r="I15" t="s">
        <v>10</v>
      </c>
      <c r="J15" t="s">
        <v>106</v>
      </c>
      <c r="K15" t="s">
        <v>59</v>
      </c>
      <c r="L15" t="s">
        <v>101</v>
      </c>
      <c r="N15" s="6">
        <v>41841</v>
      </c>
    </row>
    <row r="16" spans="5:14" x14ac:dyDescent="0.3">
      <c r="E16">
        <v>11</v>
      </c>
      <c r="F16" t="str">
        <f>PROPER(LEFT(Table1[[#This Row],[Email]],FIND("@",Table1[[#This Row],[Email]])-1))</f>
        <v>Vinita.Kapoor</v>
      </c>
      <c r="H16" s="4">
        <f>AVERAGEIF(H17:H1355,"&lt;&gt;",H17:H1355)</f>
        <v>29.757950382950384</v>
      </c>
      <c r="I16" t="s">
        <v>10</v>
      </c>
      <c r="J16" t="s">
        <v>115</v>
      </c>
      <c r="K16" t="s">
        <v>43</v>
      </c>
      <c r="L16" t="s">
        <v>110</v>
      </c>
      <c r="M16" t="s">
        <v>44</v>
      </c>
      <c r="N16" s="6">
        <v>41836</v>
      </c>
    </row>
    <row r="17" spans="5:14" x14ac:dyDescent="0.3">
      <c r="E17">
        <v>30</v>
      </c>
      <c r="F17" t="str">
        <f>PROPER(LEFT(Table1[[#This Row],[Email]],FIND("@",Table1[[#This Row],[Email]])-1))</f>
        <v>Ankit.Singh</v>
      </c>
      <c r="H17" s="4">
        <v>29</v>
      </c>
      <c r="I17" t="s">
        <v>7</v>
      </c>
      <c r="J17" t="s">
        <v>106</v>
      </c>
      <c r="K17" t="s">
        <v>57</v>
      </c>
      <c r="M17" t="s">
        <v>58</v>
      </c>
      <c r="N17" s="6">
        <v>40940</v>
      </c>
    </row>
    <row r="18" spans="5:14" x14ac:dyDescent="0.3">
      <c r="E18">
        <v>17</v>
      </c>
      <c r="F18" t="str">
        <f>PROPER(LEFT(Table1[[#This Row],[Email]],FIND("@",Table1[[#This Row],[Email]])-1))</f>
        <v>Priyanka.Jain</v>
      </c>
      <c r="H18" s="4">
        <v>26</v>
      </c>
      <c r="I18" t="s">
        <v>10</v>
      </c>
      <c r="J18" t="s">
        <v>109</v>
      </c>
      <c r="K18" t="s">
        <v>52</v>
      </c>
      <c r="L18" t="s">
        <v>100</v>
      </c>
      <c r="N18" s="6">
        <v>40088</v>
      </c>
    </row>
    <row r="19" spans="5:14" x14ac:dyDescent="0.3">
      <c r="E19">
        <v>32</v>
      </c>
      <c r="F19" t="str">
        <f>PROPER(LEFT(Table1[[#This Row],[Email]],FIND("@",Table1[[#This Row],[Email]])-1))</f>
        <v>Rajeev.Sharma</v>
      </c>
      <c r="H19" s="4">
        <v>32</v>
      </c>
      <c r="I19" t="s">
        <v>7</v>
      </c>
      <c r="J19" t="s">
        <v>107</v>
      </c>
      <c r="K19" t="s">
        <v>60</v>
      </c>
      <c r="M19" t="s">
        <v>61</v>
      </c>
      <c r="N19" s="6">
        <v>39835</v>
      </c>
    </row>
    <row r="20" spans="5:14" x14ac:dyDescent="0.3">
      <c r="E20">
        <v>38</v>
      </c>
      <c r="F20" t="str">
        <f>PROPER(LEFT(Table1[[#This Row],[Email]],FIND("@",Table1[[#This Row],[Email]])-1))</f>
        <v>Mohit.Verma</v>
      </c>
      <c r="H20" s="4">
        <v>28</v>
      </c>
      <c r="I20" t="s">
        <v>7</v>
      </c>
      <c r="J20" t="s">
        <v>104</v>
      </c>
      <c r="K20" t="s">
        <v>72</v>
      </c>
      <c r="L20" t="s">
        <v>113</v>
      </c>
      <c r="M20" t="s">
        <v>73</v>
      </c>
      <c r="N20" s="6">
        <v>37473</v>
      </c>
    </row>
    <row r="21" spans="5:14" x14ac:dyDescent="0.3">
      <c r="E21">
        <v>36</v>
      </c>
      <c r="F21" t="str">
        <f>PROPER(LEFT(Table1[[#This Row],[Email]],FIND("@",Table1[[#This Row],[Email]])-1))</f>
        <v>Sushant.Patel</v>
      </c>
      <c r="H21" s="4">
        <v>29</v>
      </c>
      <c r="I21" t="s">
        <v>7</v>
      </c>
      <c r="J21" t="s">
        <v>106</v>
      </c>
      <c r="K21" t="s">
        <v>68</v>
      </c>
      <c r="L21" t="s">
        <v>114</v>
      </c>
      <c r="M21" t="s">
        <v>69</v>
      </c>
      <c r="N21" s="6">
        <v>37358</v>
      </c>
    </row>
    <row r="22" spans="5:14" x14ac:dyDescent="0.3">
      <c r="E22">
        <v>21</v>
      </c>
      <c r="F22" t="str">
        <f>PROPER(LEFT(Table1[[#This Row],[Email]],FIND("@",Table1[[#This Row],[Email]])-1))</f>
        <v>Nisha.Verma</v>
      </c>
      <c r="H22" s="4">
        <v>26</v>
      </c>
      <c r="I22" t="s">
        <v>10</v>
      </c>
      <c r="J22" t="s">
        <v>108</v>
      </c>
      <c r="K22" t="s">
        <v>14</v>
      </c>
      <c r="M22" t="s">
        <v>15</v>
      </c>
      <c r="N22" s="6">
        <v>35969</v>
      </c>
    </row>
    <row r="23" spans="5:14" x14ac:dyDescent="0.3">
      <c r="E23">
        <v>41</v>
      </c>
      <c r="F23" t="str">
        <f>PROPER(LEFT(Table1[[#This Row],[Email]],FIND("@",Table1[[#This Row],[Email]])-1))</f>
        <v>Pooja.Mishra</v>
      </c>
      <c r="H23" s="4">
        <v>27</v>
      </c>
      <c r="I23" t="s">
        <v>10</v>
      </c>
      <c r="J23" t="s">
        <v>109</v>
      </c>
      <c r="K23" t="s">
        <v>78</v>
      </c>
      <c r="L23" t="s">
        <v>114</v>
      </c>
      <c r="M23" t="s">
        <v>79</v>
      </c>
      <c r="N23" s="6">
        <v>35747</v>
      </c>
    </row>
    <row r="24" spans="5:14" x14ac:dyDescent="0.3">
      <c r="E24">
        <v>4</v>
      </c>
      <c r="F24" t="str">
        <f>PROPER(LEFT(Table1[[#This Row],[Email]],FIND("@",Table1[[#This Row],[Email]])-1))</f>
        <v>Priya.Sharma</v>
      </c>
      <c r="H24" s="4">
        <v>33</v>
      </c>
      <c r="I24" t="s">
        <v>10</v>
      </c>
      <c r="J24" t="s">
        <v>106</v>
      </c>
      <c r="K24" t="s">
        <v>31</v>
      </c>
      <c r="L24" t="s">
        <v>101</v>
      </c>
      <c r="M24" t="s">
        <v>32</v>
      </c>
      <c r="N24" s="6">
        <v>33457</v>
      </c>
    </row>
    <row r="25" spans="5:14" x14ac:dyDescent="0.3">
      <c r="E25">
        <v>6</v>
      </c>
      <c r="F25" t="str">
        <f>PROPER(LEFT(Table1[[#This Row],[Email]],FIND("@",Table1[[#This Row],[Email]])-1))</f>
        <v>Rakesh.Kumar</v>
      </c>
      <c r="H25" s="4">
        <v>34</v>
      </c>
      <c r="I25" t="s">
        <v>7</v>
      </c>
      <c r="J25" t="s">
        <v>109</v>
      </c>
      <c r="K25" t="s">
        <v>34</v>
      </c>
      <c r="M25" t="s">
        <v>35</v>
      </c>
      <c r="N25" s="6">
        <v>33418</v>
      </c>
    </row>
    <row r="26" spans="5:14" x14ac:dyDescent="0.3">
      <c r="E26">
        <v>42</v>
      </c>
      <c r="F26" t="str">
        <f>PROPER(LEFT(Table1[[#This Row],[Email]],FIND("@",Table1[[#This Row],[Email]])-1))</f>
        <v>Mohan.Kumar</v>
      </c>
      <c r="H26" s="4">
        <v>29</v>
      </c>
      <c r="I26" t="s">
        <v>7</v>
      </c>
      <c r="J26" t="s">
        <v>106</v>
      </c>
      <c r="K26" t="s">
        <v>80</v>
      </c>
      <c r="M26" t="s">
        <v>81</v>
      </c>
      <c r="N26" s="6">
        <v>32258</v>
      </c>
    </row>
    <row r="27" spans="5:14" x14ac:dyDescent="0.3">
      <c r="E27">
        <v>2</v>
      </c>
      <c r="F27" t="str">
        <f>PROPER(LEFT(Table1[[#This Row],[Email]],FIND("@",Table1[[#This Row],[Email]])-1))</f>
        <v>Jane.Smith</v>
      </c>
      <c r="H27" s="4">
        <v>28</v>
      </c>
      <c r="I27" t="s">
        <v>10</v>
      </c>
      <c r="J27" t="s">
        <v>115</v>
      </c>
      <c r="K27" t="s">
        <v>27</v>
      </c>
      <c r="L27" t="s">
        <v>99</v>
      </c>
      <c r="M27" t="s">
        <v>28</v>
      </c>
      <c r="N27" s="6">
        <v>31169</v>
      </c>
    </row>
    <row r="28" spans="5:14" x14ac:dyDescent="0.3">
      <c r="E28">
        <v>44</v>
      </c>
      <c r="F28" t="str">
        <f>PROPER(LEFT(Table1[[#This Row],[Email]],FIND("@",Table1[[#This Row],[Email]])-1))</f>
        <v>Mukesh.Sharma</v>
      </c>
      <c r="H28" s="4">
        <v>28</v>
      </c>
      <c r="I28" t="s">
        <v>7</v>
      </c>
      <c r="J28" t="s">
        <v>108</v>
      </c>
      <c r="K28" t="s">
        <v>84</v>
      </c>
      <c r="M28" t="s">
        <v>85</v>
      </c>
      <c r="N28" s="6">
        <v>31064</v>
      </c>
    </row>
    <row r="29" spans="5:14" x14ac:dyDescent="0.3">
      <c r="E29">
        <v>43</v>
      </c>
      <c r="F29" t="str">
        <f>PROPER(LEFT(Table1[[#This Row],[Email]],FIND("@",Table1[[#This Row],[Email]])-1))</f>
        <v>Anjali.Gupta</v>
      </c>
      <c r="H29" s="4">
        <v>26</v>
      </c>
      <c r="I29" t="s">
        <v>10</v>
      </c>
      <c r="J29" t="s">
        <v>107</v>
      </c>
      <c r="K29" t="s">
        <v>82</v>
      </c>
      <c r="L29" t="s">
        <v>101</v>
      </c>
      <c r="M29" t="s">
        <v>83</v>
      </c>
      <c r="N29" s="6">
        <v>31047</v>
      </c>
    </row>
    <row r="30" spans="5:14" x14ac:dyDescent="0.3">
      <c r="E30">
        <v>39</v>
      </c>
      <c r="F30" t="str">
        <f>PROPER(LEFT(Table1[[#This Row],[Email]],FIND("@",Table1[[#This Row],[Email]])-1))</f>
        <v>Kavita.Singh</v>
      </c>
      <c r="H30" s="4">
        <v>33</v>
      </c>
      <c r="I30" t="s">
        <v>10</v>
      </c>
      <c r="J30" t="s">
        <v>104</v>
      </c>
      <c r="K30" t="s">
        <v>74</v>
      </c>
      <c r="L30" t="s">
        <v>102</v>
      </c>
      <c r="M30" t="s">
        <v>75</v>
      </c>
      <c r="N30" s="6">
        <v>30628</v>
      </c>
    </row>
    <row r="31" spans="5:14" x14ac:dyDescent="0.3">
      <c r="E31">
        <v>34</v>
      </c>
      <c r="F31" t="str">
        <f>PROPER(LEFT(Table1[[#This Row],[Email]],FIND("@",Table1[[#This Row],[Email]])-1))</f>
        <v>Vinay.Singh</v>
      </c>
      <c r="H31" s="4">
        <v>30</v>
      </c>
      <c r="I31" t="s">
        <v>7</v>
      </c>
      <c r="J31" t="s">
        <v>109</v>
      </c>
      <c r="K31" t="s">
        <v>64</v>
      </c>
      <c r="M31" t="s">
        <v>65</v>
      </c>
      <c r="N31" s="6">
        <v>29480</v>
      </c>
    </row>
    <row r="32" spans="5:14" x14ac:dyDescent="0.3">
      <c r="E32">
        <v>16</v>
      </c>
      <c r="F32" t="str">
        <f>PROPER(LEFT(Table1[[#This Row],[Email]],FIND("@",Table1[[#This Row],[Email]])-1))</f>
        <v>Manish.Patel</v>
      </c>
      <c r="H32" s="4">
        <v>32</v>
      </c>
      <c r="I32" t="s">
        <v>7</v>
      </c>
      <c r="J32" t="s">
        <v>108</v>
      </c>
      <c r="K32" t="s">
        <v>50</v>
      </c>
      <c r="L32" t="s">
        <v>98</v>
      </c>
      <c r="M32" t="s">
        <v>51</v>
      </c>
      <c r="N32" s="6">
        <v>28476</v>
      </c>
    </row>
    <row r="33" spans="5:14" x14ac:dyDescent="0.3">
      <c r="E33">
        <v>49</v>
      </c>
      <c r="F33" t="str">
        <f>PROPER(LEFT(Table1[[#This Row],[Email]],FIND("@",Table1[[#This Row],[Email]])-1))</f>
        <v>Sandeep.Singh</v>
      </c>
      <c r="H33" s="4">
        <f>AVERAGEIF(H34:H1336,"&lt;&gt;",H34:H1336)</f>
        <v>30.024350649350648</v>
      </c>
      <c r="I33" t="s">
        <v>7</v>
      </c>
      <c r="J33" t="s">
        <v>106</v>
      </c>
      <c r="K33" t="s">
        <v>93</v>
      </c>
      <c r="L33" t="s">
        <v>101</v>
      </c>
      <c r="M33" t="s">
        <v>94</v>
      </c>
      <c r="N33" s="6">
        <v>23055</v>
      </c>
    </row>
    <row r="34" spans="5:14" x14ac:dyDescent="0.3">
      <c r="E34">
        <v>40</v>
      </c>
      <c r="F34" t="str">
        <f>PROPER(LEFT(Table1[[#This Row],[Email]],FIND("@",Table1[[#This Row],[Email]])-1))</f>
        <v>Ankit.Patel</v>
      </c>
      <c r="H34" s="4">
        <v>30</v>
      </c>
      <c r="I34" t="s">
        <v>7</v>
      </c>
      <c r="J34" t="s">
        <v>117</v>
      </c>
      <c r="K34" t="s">
        <v>76</v>
      </c>
      <c r="M34" t="s">
        <v>77</v>
      </c>
      <c r="N34" s="6">
        <v>22018</v>
      </c>
    </row>
    <row r="35" spans="5:14" x14ac:dyDescent="0.3">
      <c r="E35">
        <v>14</v>
      </c>
      <c r="F35" t="str">
        <f>PROPER(LEFT(Table1[[#This Row],[Email]],FIND("@",Table1[[#This Row],[Email]])-1))</f>
        <v>Swati.Singh</v>
      </c>
      <c r="H35" s="4">
        <v>28</v>
      </c>
      <c r="I35" t="s">
        <v>10</v>
      </c>
      <c r="J35" t="s">
        <v>104</v>
      </c>
      <c r="K35" t="s">
        <v>47</v>
      </c>
      <c r="M35" t="s">
        <v>48</v>
      </c>
      <c r="N35" s="6">
        <v>21978</v>
      </c>
    </row>
    <row r="36" spans="5:14" x14ac:dyDescent="0.3">
      <c r="E36">
        <v>5</v>
      </c>
      <c r="F36" t="str">
        <f>PROPER(LEFT(Table1[[#This Row],[Email]],FIND("@",Table1[[#This Row],[Email]])-1))</f>
        <v>Jane.Doe</v>
      </c>
      <c r="H36" s="4">
        <v>29</v>
      </c>
      <c r="I36" t="s">
        <v>10</v>
      </c>
      <c r="J36" t="s">
        <v>106</v>
      </c>
      <c r="K36" t="s">
        <v>33</v>
      </c>
      <c r="N36" s="6">
        <v>21918</v>
      </c>
    </row>
    <row r="37" spans="5:14" x14ac:dyDescent="0.3">
      <c r="E37">
        <v>46</v>
      </c>
      <c r="F37" t="str">
        <f>PROPER(LEFT(Table1[[#This Row],[Email]],FIND("@",Table1[[#This Row],[Email]])-1))</f>
        <v>Divya.Patel</v>
      </c>
      <c r="H37" s="4">
        <v>27</v>
      </c>
      <c r="I37" t="s">
        <v>10</v>
      </c>
      <c r="J37" t="s">
        <v>104</v>
      </c>
      <c r="K37" t="s">
        <v>87</v>
      </c>
      <c r="L37" t="s">
        <v>114</v>
      </c>
      <c r="M37" t="s">
        <v>88</v>
      </c>
      <c r="N37" s="6">
        <v>20205</v>
      </c>
    </row>
    <row r="38" spans="5:14" x14ac:dyDescent="0.3">
      <c r="E38">
        <v>50</v>
      </c>
      <c r="F38" t="str">
        <f>PROPER(LEFT(Table1[[#This Row],[Email]],FIND("@",Table1[[#This Row],[Email]])-1))</f>
        <v>Shalini.Sharma</v>
      </c>
      <c r="H38" s="4">
        <v>30</v>
      </c>
      <c r="I38" t="s">
        <v>10</v>
      </c>
      <c r="J38" t="s">
        <v>106</v>
      </c>
      <c r="K38" t="s">
        <v>95</v>
      </c>
      <c r="M38" t="s">
        <v>96</v>
      </c>
      <c r="N38" s="6">
        <v>18647</v>
      </c>
    </row>
    <row r="39" spans="5:14" x14ac:dyDescent="0.3">
      <c r="E39">
        <v>24</v>
      </c>
      <c r="F39" t="str">
        <f>PROPER(LEFT(Table1[[#This Row],[Email]],FIND("@",Table1[[#This Row],[Email]])-1))</f>
        <v>Sanjay.Gupta</v>
      </c>
      <c r="H39" s="4">
        <v>29</v>
      </c>
      <c r="I39" t="s">
        <v>7</v>
      </c>
      <c r="J39" t="s">
        <v>105</v>
      </c>
      <c r="K39" t="s">
        <v>18</v>
      </c>
      <c r="L39" t="s">
        <v>110</v>
      </c>
      <c r="N39" s="6">
        <v>15853</v>
      </c>
    </row>
    <row r="40" spans="5:14" x14ac:dyDescent="0.3">
      <c r="E40">
        <v>48</v>
      </c>
      <c r="F40" t="str">
        <f>PROPER(LEFT(Table1[[#This Row],[Email]],FIND("@",Table1[[#This Row],[Email]])-1))</f>
        <v>Aditi.Shah</v>
      </c>
      <c r="H40" s="4">
        <v>32</v>
      </c>
      <c r="I40" t="s">
        <v>10</v>
      </c>
      <c r="J40" t="s">
        <v>116</v>
      </c>
      <c r="K40" t="s">
        <v>91</v>
      </c>
      <c r="L40" t="s">
        <v>110</v>
      </c>
      <c r="M40" t="s">
        <v>92</v>
      </c>
      <c r="N40" s="6">
        <v>15531</v>
      </c>
    </row>
    <row r="41" spans="5:14" x14ac:dyDescent="0.3">
      <c r="E41">
        <v>35</v>
      </c>
      <c r="F41" t="str">
        <f>PROPER(LEFT(Table1[[#This Row],[Email]],FIND("@",Table1[[#This Row],[Email]])-1))</f>
        <v>Priya.Gupta</v>
      </c>
      <c r="H41" s="4">
        <f>AVERAGEIF(H42:H1358,"&lt;&gt;",H42:H1358)</f>
        <v>30.369047619047617</v>
      </c>
      <c r="I41" t="s">
        <v>10</v>
      </c>
      <c r="J41" t="s">
        <v>116</v>
      </c>
      <c r="K41" t="s">
        <v>66</v>
      </c>
      <c r="L41" t="s">
        <v>101</v>
      </c>
      <c r="M41" t="s">
        <v>67</v>
      </c>
      <c r="N41" s="6">
        <v>14254</v>
      </c>
    </row>
    <row r="42" spans="5:14" x14ac:dyDescent="0.3">
      <c r="E42">
        <v>12</v>
      </c>
      <c r="F42" t="str">
        <f>PROPER(LEFT(Table1[[#This Row],[Email]],FIND("@",Table1[[#This Row],[Email]])-1))</f>
        <v>Rajeev.Kumar</v>
      </c>
      <c r="H42" s="4">
        <v>29</v>
      </c>
      <c r="I42" t="s">
        <v>7</v>
      </c>
      <c r="J42" t="s">
        <v>115</v>
      </c>
      <c r="K42" t="s">
        <v>45</v>
      </c>
      <c r="L42" t="s">
        <v>101</v>
      </c>
      <c r="M42" t="s">
        <v>46</v>
      </c>
      <c r="N42" s="6">
        <v>11901</v>
      </c>
    </row>
    <row r="43" spans="5:14" x14ac:dyDescent="0.3">
      <c r="E43">
        <v>29</v>
      </c>
      <c r="F43" t="str">
        <f>PROPER(LEFT(Table1[[#This Row],[Email]],FIND("@",Table1[[#This Row],[Email]])-1))</f>
        <v>Swati.Mishra</v>
      </c>
      <c r="H43" s="4">
        <v>26</v>
      </c>
      <c r="I43" t="s">
        <v>10</v>
      </c>
      <c r="J43" t="s">
        <v>116</v>
      </c>
      <c r="K43" t="s">
        <v>55</v>
      </c>
      <c r="L43" t="s">
        <v>114</v>
      </c>
      <c r="M43" t="s">
        <v>56</v>
      </c>
      <c r="N43" s="6">
        <v>11342</v>
      </c>
    </row>
    <row r="44" spans="5:14" x14ac:dyDescent="0.3">
      <c r="E44">
        <v>3</v>
      </c>
      <c r="F44" t="str">
        <f>PROPER(LEFT(Table1[[#This Row],[Email]],FIND("@",Table1[[#This Row],[Email]])-1))</f>
        <v>Amit.Patel</v>
      </c>
      <c r="H44" s="4">
        <v>27</v>
      </c>
      <c r="I44" t="s">
        <v>7</v>
      </c>
      <c r="J44" t="s">
        <v>116</v>
      </c>
      <c r="K44" t="s">
        <v>29</v>
      </c>
      <c r="L44" t="s">
        <v>100</v>
      </c>
      <c r="M44" t="s">
        <v>30</v>
      </c>
      <c r="N44" s="6">
        <v>11116</v>
      </c>
    </row>
    <row r="45" spans="5:14" x14ac:dyDescent="0.3">
      <c r="E45">
        <v>10</v>
      </c>
      <c r="F45" t="str">
        <f>PROPER(LEFT(Table1[[#This Row],[Email]],FIND("@",Table1[[#This Row],[Email]])-1))</f>
        <v>Naveen.Sharma</v>
      </c>
      <c r="H45" s="4">
        <v>35</v>
      </c>
      <c r="I45" t="s">
        <v>7</v>
      </c>
      <c r="J45" t="s">
        <v>105</v>
      </c>
      <c r="K45" t="s">
        <v>41</v>
      </c>
      <c r="M45" t="s">
        <v>42</v>
      </c>
      <c r="N45" s="6">
        <v>9818</v>
      </c>
    </row>
    <row r="46" spans="5:14" x14ac:dyDescent="0.3">
      <c r="E46">
        <v>33</v>
      </c>
      <c r="F46" t="str">
        <f>PROPER(LEFT(Table1[[#This Row],[Email]],FIND("@",Table1[[#This Row],[Email]])-1))</f>
        <v>Sarika.Patel</v>
      </c>
      <c r="H46" s="4">
        <v>33</v>
      </c>
      <c r="I46" t="s">
        <v>10</v>
      </c>
      <c r="J46" t="s">
        <v>108</v>
      </c>
      <c r="K46" t="s">
        <v>62</v>
      </c>
      <c r="L46" t="s">
        <v>110</v>
      </c>
      <c r="M46" t="s">
        <v>63</v>
      </c>
      <c r="N46" s="6">
        <v>9577</v>
      </c>
    </row>
    <row r="47" spans="5:14" x14ac:dyDescent="0.3">
      <c r="E47">
        <v>47</v>
      </c>
      <c r="F47" t="str">
        <f>PROPER(LEFT(Table1[[#This Row],[Email]],FIND("@",Table1[[#This Row],[Email]])-1))</f>
        <v>Gaurav.Kumar</v>
      </c>
      <c r="H47" s="4">
        <v>29</v>
      </c>
      <c r="I47" t="s">
        <v>7</v>
      </c>
      <c r="J47" t="s">
        <v>104</v>
      </c>
      <c r="K47" t="s">
        <v>89</v>
      </c>
      <c r="M47" t="s">
        <v>90</v>
      </c>
      <c r="N47" s="6">
        <v>8746</v>
      </c>
    </row>
    <row r="48" spans="5:14" x14ac:dyDescent="0.3">
      <c r="E48">
        <v>27</v>
      </c>
      <c r="F48" t="str">
        <f>PROPER(LEFT(Table1[[#This Row],[Email]],FIND("@",Table1[[#This Row],[Email]])-1))</f>
        <v>Preeti.Singh</v>
      </c>
      <c r="H48" s="4">
        <v>28</v>
      </c>
      <c r="I48" t="s">
        <v>10</v>
      </c>
      <c r="J48" t="s">
        <v>108</v>
      </c>
      <c r="K48" t="s">
        <v>23</v>
      </c>
      <c r="L48" t="s">
        <v>114</v>
      </c>
      <c r="M48" t="s">
        <v>24</v>
      </c>
      <c r="N48" s="6">
        <v>8022</v>
      </c>
    </row>
    <row r="49" spans="5:14" x14ac:dyDescent="0.3">
      <c r="E49">
        <v>25</v>
      </c>
      <c r="F49" t="str">
        <f>PROPER(LEFT(Table1[[#This Row],[Email]],FIND("@",Table1[[#This Row],[Email]])-1))</f>
        <v>Anjali.Sharma</v>
      </c>
      <c r="H49" s="4">
        <f>AVERAGEIF(H50:H1376,"&lt;&gt;",H50:H1376)</f>
        <v>31.166666666666668</v>
      </c>
      <c r="I49" t="s">
        <v>10</v>
      </c>
      <c r="J49" t="s">
        <v>115</v>
      </c>
      <c r="K49" t="s">
        <v>19</v>
      </c>
      <c r="L49" t="s">
        <v>101</v>
      </c>
      <c r="M49" t="s">
        <v>20</v>
      </c>
      <c r="N49" s="6">
        <v>6926</v>
      </c>
    </row>
    <row r="50" spans="5:14" x14ac:dyDescent="0.3">
      <c r="E50">
        <v>1</v>
      </c>
      <c r="F50" t="str">
        <f>PROPER(LEFT(Table1[[#This Row],[Email]],FIND("@",Table1[[#This Row],[Email]])-1))</f>
        <v>John.Doe</v>
      </c>
      <c r="H50" s="4">
        <v>32</v>
      </c>
      <c r="I50" t="s">
        <v>7</v>
      </c>
      <c r="J50" t="s">
        <v>105</v>
      </c>
      <c r="K50" t="s">
        <v>25</v>
      </c>
      <c r="L50" s="2" t="s">
        <v>98</v>
      </c>
      <c r="M50" t="s">
        <v>26</v>
      </c>
      <c r="N50" s="6">
        <v>4553</v>
      </c>
    </row>
    <row r="51" spans="5:14" x14ac:dyDescent="0.3">
      <c r="E51">
        <v>28</v>
      </c>
      <c r="F51" t="str">
        <f>PROPER(LEFT(Table1[[#This Row],[Email]],FIND("@",Table1[[#This Row],[Email]])-1))</f>
        <v>Ravi.Kumar</v>
      </c>
      <c r="H51" s="4">
        <v>34</v>
      </c>
      <c r="I51" t="s">
        <v>7</v>
      </c>
      <c r="J51" t="s">
        <v>109</v>
      </c>
      <c r="K51" t="s">
        <v>53</v>
      </c>
      <c r="L51" t="s">
        <v>113</v>
      </c>
      <c r="M51" t="s">
        <v>54</v>
      </c>
      <c r="N51" s="6">
        <v>3484</v>
      </c>
    </row>
    <row r="52" spans="5:14" x14ac:dyDescent="0.3">
      <c r="E52">
        <v>19</v>
      </c>
      <c r="F52" t="str">
        <f>PROPER(LEFT(Table1[[#This Row],[Email]],FIND("@",Table1[[#This Row],[Email]])-1))</f>
        <v>Deepika.Singh</v>
      </c>
      <c r="H52" s="4">
        <v>30</v>
      </c>
      <c r="I52" t="s">
        <v>10</v>
      </c>
      <c r="J52" t="s">
        <v>109</v>
      </c>
      <c r="K52" t="s">
        <v>11</v>
      </c>
      <c r="L52" t="s">
        <v>101</v>
      </c>
      <c r="M52" t="s">
        <v>12</v>
      </c>
      <c r="N52" s="6">
        <v>3337</v>
      </c>
    </row>
    <row r="53" spans="5:14" x14ac:dyDescent="0.3">
      <c r="E53">
        <v>45</v>
      </c>
      <c r="F53" t="str">
        <f>PROPER(LEFT(Table1[[#This Row],[Email]],FIND("@",Table1[[#This Row],[Email]])-1))</f>
        <v>Arjun.Singh</v>
      </c>
      <c r="H53" s="4">
        <v>31</v>
      </c>
      <c r="I53" t="s">
        <v>7</v>
      </c>
      <c r="J53" t="s">
        <v>109</v>
      </c>
      <c r="K53" t="s">
        <v>86</v>
      </c>
      <c r="L53" t="s">
        <v>113</v>
      </c>
      <c r="N53" s="6">
        <v>3108</v>
      </c>
    </row>
    <row r="54" spans="5:14" x14ac:dyDescent="0.3">
      <c r="E54">
        <v>18</v>
      </c>
      <c r="F54" t="str">
        <f>PROPER(LEFT(Table1[[#This Row],[Email]],FIND("@",Table1[[#This Row],[Email]])-1))</f>
        <v>Rohit.Sharma</v>
      </c>
      <c r="H54" s="4">
        <v>28</v>
      </c>
      <c r="I54" t="s">
        <v>7</v>
      </c>
      <c r="J54" t="s">
        <v>109</v>
      </c>
      <c r="K54" t="s">
        <v>8</v>
      </c>
      <c r="L54" t="s">
        <v>99</v>
      </c>
      <c r="M54" t="s">
        <v>9</v>
      </c>
      <c r="N54" s="6">
        <v>2949</v>
      </c>
    </row>
    <row r="55" spans="5:14" x14ac:dyDescent="0.3">
      <c r="E55">
        <v>20</v>
      </c>
      <c r="F55" t="str">
        <f>PROPER(LEFT(Table1[[#This Row],[Email]],FIND("@",Table1[[#This Row],[Email]])-1))</f>
        <v>Vikas.Joshi</v>
      </c>
      <c r="H55" s="4">
        <v>32</v>
      </c>
      <c r="I55" t="s">
        <v>7</v>
      </c>
      <c r="J55" t="s">
        <v>107</v>
      </c>
      <c r="K55" t="s">
        <v>13</v>
      </c>
      <c r="L55" t="s">
        <v>102</v>
      </c>
      <c r="N55" s="6">
        <v>2857</v>
      </c>
    </row>
  </sheetData>
  <phoneticPr fontId="2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user</cp:lastModifiedBy>
  <dcterms:created xsi:type="dcterms:W3CDTF">2023-04-26T07:21:03Z</dcterms:created>
  <dcterms:modified xsi:type="dcterms:W3CDTF">2023-04-30T14:01:11Z</dcterms:modified>
</cp:coreProperties>
</file>